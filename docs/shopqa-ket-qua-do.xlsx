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hật ký chạy" sheetId="1" state="visible" r:id="rId3"/>
    <sheet name="Tổng hợp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<sst xmlns="http://schemas.openxmlformats.org/spreadsheetml/2006/main" count="71" uniqueCount="45">
  <si>
    <t xml:space="preserve">Nhật ký các lần chạy ShopQA-Agent</t>
  </si>
  <si>
    <t xml:space="preserve">Cách dùng: mỗi lần chạy agent, thêm một dòng. Ô nền vàng, chữ xanh là ô bạn nhập; cột Lần là công thức tự đánh số.</t>
  </si>
  <si>
    <t xml:space="preserve">Lệnh: python -m shopqa.cli --spec specs/checkout.md --base-url "http://localhost:8000/?bug=coupon"   (đổi thành ?bug=checkout hoặc bỏ phần ?bug=... cho shop sạch)</t>
  </si>
  <si>
    <t xml:space="preserve">Lần</t>
  </si>
  <si>
    <t xml:space="preserve">Chế độ</t>
  </si>
  <si>
    <t xml:space="preserve">Phiên bản prompt</t>
  </si>
  <si>
    <t xml:space="preserve">Thư mục kết quả</t>
  </si>
  <si>
    <t xml:space="preserve">Số test</t>
  </si>
  <si>
    <t xml:space="preserve">Bắt được lỗi?</t>
  </si>
  <si>
    <t xml:space="preserve">Báo nhầm?</t>
  </si>
  <si>
    <t xml:space="preserve">Ghi chú</t>
  </si>
  <si>
    <t xml:space="preserve">shop sạch</t>
  </si>
  <si>
    <t xml:space="preserve">Trước khi sửa</t>
  </si>
  <si>
    <t xml:space="preserve">artifacts\20261012-000057</t>
  </si>
  <si>
    <t xml:space="preserve">Không</t>
  </si>
  <si>
    <t xml:space="preserve">6/6 PASS trên shop sạch (dữ liệu từ ảnh bạn gửi)</t>
  </si>
  <si>
    <t xml:space="preserve">bug=coupon</t>
  </si>
  <si>
    <t xml:space="preserve">artifacts\20261013-123331</t>
  </si>
  <si>
    <t xml:space="preserve">Bỏ sót lỗi: test t4 chỉ kiểm tra thông báo, web hiện tổng 99.000đ nhưng vẫn PASS</t>
  </si>
  <si>
    <t xml:space="preserve">Sau khi sửa</t>
  </si>
  <si>
    <t xml:space="preserve">artifacts\20261013-143103</t>
  </si>
  <si>
    <t xml:space="preserve">Có</t>
  </si>
  <si>
    <t xml:space="preserve">t3 FAIL: kỳ vọng 90.000đ, thực tế 99.000đ (assertion_failed)</t>
  </si>
  <si>
    <t xml:space="preserve">Tổng hợp kết quả đo ShopQA-Agent</t>
  </si>
  <si>
    <t xml:space="preserve">Số liệu tính tự động từ sheet 'Nhật ký chạy'. Chỉ nhập dữ liệu ở sheet đó, không sửa ở đây.</t>
  </si>
  <si>
    <t xml:space="preserve">Trước khi sửa prompt</t>
  </si>
  <si>
    <t xml:space="preserve">Số lần chạy</t>
  </si>
  <si>
    <t xml:space="preserve">Bắt được lỗi</t>
  </si>
  <si>
    <t xml:space="preserve">Tỉ lệ bắt lỗi</t>
  </si>
  <si>
    <t xml:space="preserve">Báo nhầm</t>
  </si>
  <si>
    <t xml:space="preserve">Tỉ lệ báo nhầm</t>
  </si>
  <si>
    <t xml:space="preserve">—</t>
  </si>
  <si>
    <t xml:space="preserve">bug=checkout</t>
  </si>
  <si>
    <t xml:space="preserve">Sau khi sửa prompt</t>
  </si>
  <si>
    <t xml:space="preserve">Thông tin cố định khi đo (để so sánh công bằng)</t>
  </si>
  <si>
    <t xml:space="preserve">Model LLM</t>
  </si>
  <si>
    <t xml:space="preserve">gemini-3.8-flash</t>
  </si>
  <si>
    <t xml:space="preserve">Lấy từ file .env trong ảnh bạn gửi; đổi nếu bạn đổi model.</t>
  </si>
  <si>
    <t xml:space="preserve">Nhiệt độ</t>
  </si>
  <si>
    <t xml:space="preserve">Giá trị đặt trong llm.py (temperature=0).</t>
  </si>
  <si>
    <t xml:space="preserve">Ghi chú:</t>
  </si>
  <si>
    <t xml:space="preserve">• Dấu — nghĩa là không áp dụng: tỉ lệ bắt lỗi chỉ đo ở chế độ có bug; báo nhầm chỉ đo ở shop sạch.</t>
  </si>
  <si>
    <t xml:space="preserve">• Mỗi chế độ nên chạy khoảng 5 lần cho mỗi phiên bản prompt; 1-2 lần chưa đủ để kết luận vì LLM sinh test khác nhau mỗi lần.</t>
  </si>
  <si>
    <t xml:space="preserve">• 'Bắt được lỗi' = có ít nhất một test FAIL đúng vào lỗi đã cài (xem ảnh chụp bước cuối để xác nhận).</t>
  </si>
  <si>
    <t xml:space="preserve">• 'Báo nhầm' = shop sạch nhưng agent vẫn báo FAIL.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</si>
</sst>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30"/>
    <col collapsed="false" customWidth="true" hidden="false" outlineLevel="0" max="5" min="5" style="0" width="9"/>
    <col collapsed="false" customWidth="true" hidden="false" outlineLevel="0" max="6" min="6" style="0" width="15"/>
    <col collapsed="false" customWidth="true" hidden="false" outlineLevel="0" max="7" min="7" style="0" width="12"/>
    <col collapsed="false" customWidth="true" hidden="false" outlineLevel="0" max="8" min="8" style="0" width="7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30" hidden="false" customHeight="true" outlineLevel="0" collapsed="false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customFormat="false" ht="15" hidden="false" customHeight="false" outlineLevel="0" collapsed="false">
      <c r="A5" s="4" t="n">
        <f aca="false">IF(B5="","",ROW()-4)</f>
        <v>1</v>
      </c>
      <c r="B5" s="5" t="s">
        <v>11</v>
      </c>
      <c r="C5" s="5" t="s">
        <v>12</v>
      </c>
      <c r="D5" s="6" t="s">
        <v>13</v>
      </c>
      <c r="E5" s="5" t="n">
        <v>6</v>
      </c>
      <c r="F5" s="5"/>
      <c r="G5" s="5" t="s">
        <v>14</v>
      </c>
      <c r="H5" s="7" t="s">
        <v>15</v>
      </c>
    </row>
    <row r="6" customFormat="false" ht="15" hidden="false" customHeight="false" outlineLevel="0" collapsed="false">
      <c r="A6" s="4" t="n">
        <f aca="false">IF(B6="","",ROW()-4)</f>
        <v>2</v>
      </c>
      <c r="B6" s="5" t="s">
        <v>16</v>
      </c>
      <c r="C6" s="5" t="s">
        <v>12</v>
      </c>
      <c r="D6" s="6" t="s">
        <v>17</v>
      </c>
      <c r="E6" s="5" t="n">
        <v>6</v>
      </c>
      <c r="F6" s="5" t="s">
        <v>14</v>
      </c>
      <c r="G6" s="5"/>
      <c r="H6" s="7" t="s">
        <v>18</v>
      </c>
    </row>
    <row r="7" customFormat="false" ht="15" hidden="false" customHeight="false" outlineLevel="0" collapsed="false">
      <c r="A7" s="4" t="n">
        <f aca="false">IF(B7="","",ROW()-4)</f>
        <v>3</v>
      </c>
      <c r="B7" s="5" t="s">
        <v>16</v>
      </c>
      <c r="C7" s="5" t="s">
        <v>19</v>
      </c>
      <c r="D7" s="6" t="s">
        <v>20</v>
      </c>
      <c r="E7" s="5" t="n">
        <v>5</v>
      </c>
      <c r="F7" s="5" t="s">
        <v>21</v>
      </c>
      <c r="G7" s="5"/>
      <c r="H7" s="7" t="s">
        <v>22</v>
      </c>
    </row>
    <row r="8" customFormat="false" ht="15" hidden="false" customHeight="false" outlineLevel="0" collapsed="false">
      <c r="A8" s="4" t="str">
        <f aca="false">IF(B8="","",ROW()-4)</f>
        <v/>
      </c>
      <c r="B8" s="5"/>
      <c r="C8" s="5"/>
      <c r="D8" s="6"/>
      <c r="E8" s="5"/>
      <c r="F8" s="5"/>
      <c r="G8" s="5"/>
      <c r="H8" s="7"/>
    </row>
    <row r="9" customFormat="false" ht="15" hidden="false" customHeight="false" outlineLevel="0" collapsed="false">
      <c r="A9" s="4" t="str">
        <f aca="false">IF(B9="","",ROW()-4)</f>
        <v/>
      </c>
      <c r="B9" s="5"/>
      <c r="C9" s="5"/>
      <c r="D9" s="6"/>
      <c r="E9" s="5"/>
      <c r="F9" s="5"/>
      <c r="G9" s="5"/>
      <c r="H9" s="7"/>
    </row>
    <row r="10" customFormat="false" ht="15" hidden="false" customHeight="false" outlineLevel="0" collapsed="false">
      <c r="A10" s="4" t="str">
        <f aca="false">IF(B10="","",ROW()-4)</f>
        <v/>
      </c>
      <c r="B10" s="5"/>
      <c r="C10" s="5"/>
      <c r="D10" s="6"/>
      <c r="E10" s="5"/>
      <c r="F10" s="5"/>
      <c r="G10" s="5"/>
      <c r="H10" s="7"/>
    </row>
    <row r="11" customFormat="false" ht="15" hidden="false" customHeight="false" outlineLevel="0" collapsed="false">
      <c r="A11" s="4" t="str">
        <f aca="false">IF(B11="","",ROW()-4)</f>
        <v/>
      </c>
      <c r="B11" s="5"/>
      <c r="C11" s="5"/>
      <c r="D11" s="6"/>
      <c r="E11" s="5"/>
      <c r="F11" s="5"/>
      <c r="G11" s="5"/>
      <c r="H11" s="7"/>
    </row>
    <row r="12" customFormat="false" ht="15" hidden="false" customHeight="false" outlineLevel="0" collapsed="false">
      <c r="A12" s="4" t="str">
        <f aca="false">IF(B12="","",ROW()-4)</f>
        <v/>
      </c>
      <c r="B12" s="5"/>
      <c r="C12" s="5"/>
      <c r="D12" s="6"/>
      <c r="E12" s="5"/>
      <c r="F12" s="5"/>
      <c r="G12" s="5"/>
      <c r="H12" s="7"/>
    </row>
    <row r="13" customFormat="false" ht="15" hidden="false" customHeight="false" outlineLevel="0" collapsed="false">
      <c r="A13" s="4" t="str">
        <f aca="false">IF(B13="","",ROW()-4)</f>
        <v/>
      </c>
      <c r="B13" s="5"/>
      <c r="C13" s="5"/>
      <c r="D13" s="6"/>
      <c r="E13" s="5"/>
      <c r="F13" s="5"/>
      <c r="G13" s="5"/>
      <c r="H13" s="7"/>
    </row>
    <row r="14" customFormat="false" ht="15" hidden="false" customHeight="false" outlineLevel="0" collapsed="false">
      <c r="A14" s="4" t="str">
        <f aca="false">IF(B14="","",ROW()-4)</f>
        <v/>
      </c>
      <c r="B14" s="5"/>
      <c r="C14" s="5"/>
      <c r="D14" s="6"/>
      <c r="E14" s="5"/>
      <c r="F14" s="5"/>
      <c r="G14" s="5"/>
      <c r="H14" s="7"/>
    </row>
    <row r="15" customFormat="false" ht="15" hidden="false" customHeight="false" outlineLevel="0" collapsed="false">
      <c r="A15" s="4" t="str">
        <f aca="false">IF(B15="","",ROW()-4)</f>
        <v/>
      </c>
      <c r="B15" s="5"/>
      <c r="C15" s="5"/>
      <c r="D15" s="6"/>
      <c r="E15" s="5"/>
      <c r="F15" s="5"/>
      <c r="G15" s="5"/>
      <c r="H15" s="7"/>
    </row>
    <row r="16" customFormat="false" ht="15" hidden="false" customHeight="false" outlineLevel="0" collapsed="false">
      <c r="A16" s="4" t="str">
        <f aca="false">IF(B16="","",ROW()-4)</f>
        <v/>
      </c>
      <c r="B16" s="5"/>
      <c r="C16" s="5"/>
      <c r="D16" s="6"/>
      <c r="E16" s="5"/>
      <c r="F16" s="5"/>
      <c r="G16" s="5"/>
      <c r="H16" s="7"/>
    </row>
    <row r="17" customFormat="false" ht="15" hidden="false" customHeight="false" outlineLevel="0" collapsed="false">
      <c r="A17" s="4" t="str">
        <f aca="false">IF(B17="","",ROW()-4)</f>
        <v/>
      </c>
      <c r="B17" s="5"/>
      <c r="C17" s="5"/>
      <c r="D17" s="6"/>
      <c r="E17" s="5"/>
      <c r="F17" s="5"/>
      <c r="G17" s="5"/>
      <c r="H17" s="7"/>
    </row>
    <row r="18" customFormat="false" ht="15" hidden="false" customHeight="false" outlineLevel="0" collapsed="false">
      <c r="A18" s="4" t="str">
        <f aca="false">IF(B18="","",ROW()-4)</f>
        <v/>
      </c>
      <c r="B18" s="5"/>
      <c r="C18" s="5"/>
      <c r="D18" s="6"/>
      <c r="E18" s="5"/>
      <c r="F18" s="5"/>
      <c r="G18" s="5"/>
      <c r="H18" s="7"/>
    </row>
    <row r="19" customFormat="false" ht="15" hidden="false" customHeight="false" outlineLevel="0" collapsed="false">
      <c r="A19" s="4" t="str">
        <f aca="false">IF(B19="","",ROW()-4)</f>
        <v/>
      </c>
      <c r="B19" s="5"/>
      <c r="C19" s="5"/>
      <c r="D19" s="6"/>
      <c r="E19" s="5"/>
      <c r="F19" s="5"/>
      <c r="G19" s="5"/>
      <c r="H19" s="7"/>
    </row>
    <row r="20" customFormat="false" ht="15" hidden="false" customHeight="false" outlineLevel="0" collapsed="false">
      <c r="A20" s="4" t="str">
        <f aca="false">IF(B20="","",ROW()-4)</f>
        <v/>
      </c>
      <c r="B20" s="5"/>
      <c r="C20" s="5"/>
      <c r="D20" s="6"/>
      <c r="E20" s="5"/>
      <c r="F20" s="5"/>
      <c r="G20" s="5"/>
      <c r="H20" s="7"/>
    </row>
    <row r="21" customFormat="false" ht="15" hidden="false" customHeight="false" outlineLevel="0" collapsed="false">
      <c r="A21" s="4" t="str">
        <f aca="false">IF(B21="","",ROW()-4)</f>
        <v/>
      </c>
      <c r="B21" s="5"/>
      <c r="C21" s="5"/>
      <c r="D21" s="6"/>
      <c r="E21" s="5"/>
      <c r="F21" s="5"/>
      <c r="G21" s="5"/>
      <c r="H21" s="7"/>
    </row>
    <row r="22" customFormat="false" ht="15" hidden="false" customHeight="false" outlineLevel="0" collapsed="false">
      <c r="A22" s="4" t="str">
        <f aca="false">IF(B22="","",ROW()-4)</f>
        <v/>
      </c>
      <c r="B22" s="5"/>
      <c r="C22" s="5"/>
      <c r="D22" s="6"/>
      <c r="E22" s="5"/>
      <c r="F22" s="5"/>
      <c r="G22" s="5"/>
      <c r="H22" s="7"/>
    </row>
    <row r="23" customFormat="false" ht="15" hidden="false" customHeight="false" outlineLevel="0" collapsed="false">
      <c r="A23" s="4" t="str">
        <f aca="false">IF(B23="","",ROW()-4)</f>
        <v/>
      </c>
      <c r="B23" s="5"/>
      <c r="C23" s="5"/>
      <c r="D23" s="6"/>
      <c r="E23" s="5"/>
      <c r="F23" s="5"/>
      <c r="G23" s="5"/>
      <c r="H23" s="7"/>
    </row>
    <row r="24" customFormat="false" ht="15" hidden="false" customHeight="false" outlineLevel="0" collapsed="false">
      <c r="A24" s="4" t="str">
        <f aca="false">IF(B24="","",ROW()-4)</f>
        <v/>
      </c>
      <c r="B24" s="5"/>
      <c r="C24" s="5"/>
      <c r="D24" s="6"/>
      <c r="E24" s="5"/>
      <c r="F24" s="5"/>
      <c r="G24" s="5"/>
      <c r="H24" s="7"/>
    </row>
    <row r="25" customFormat="false" ht="15" hidden="false" customHeight="false" outlineLevel="0" collapsed="false">
      <c r="A25" s="4" t="str">
        <f aca="false">IF(B25="","",ROW()-4)</f>
        <v/>
      </c>
      <c r="B25" s="5"/>
      <c r="C25" s="5"/>
      <c r="D25" s="6"/>
      <c r="E25" s="5"/>
      <c r="F25" s="5"/>
      <c r="G25" s="5"/>
      <c r="H25" s="7"/>
    </row>
    <row r="26" customFormat="false" ht="15" hidden="false" customHeight="false" outlineLevel="0" collapsed="false">
      <c r="A26" s="4" t="str">
        <f aca="false">IF(B26="","",ROW()-4)</f>
        <v/>
      </c>
      <c r="B26" s="5"/>
      <c r="C26" s="5"/>
      <c r="D26" s="6"/>
      <c r="E26" s="5"/>
      <c r="F26" s="5"/>
      <c r="G26" s="5"/>
      <c r="H26" s="7"/>
    </row>
    <row r="27" customFormat="false" ht="15" hidden="false" customHeight="false" outlineLevel="0" collapsed="false">
      <c r="A27" s="4" t="str">
        <f aca="false">IF(B27="","",ROW()-4)</f>
        <v/>
      </c>
      <c r="B27" s="5"/>
      <c r="C27" s="5"/>
      <c r="D27" s="6"/>
      <c r="E27" s="5"/>
      <c r="F27" s="5"/>
      <c r="G27" s="5"/>
      <c r="H27" s="7"/>
    </row>
    <row r="28" customFormat="false" ht="15" hidden="false" customHeight="false" outlineLevel="0" collapsed="false">
      <c r="A28" s="4" t="str">
        <f aca="false">IF(B28="","",ROW()-4)</f>
        <v/>
      </c>
      <c r="B28" s="5"/>
      <c r="C28" s="5"/>
      <c r="D28" s="6"/>
      <c r="E28" s="5"/>
      <c r="F28" s="5"/>
      <c r="G28" s="5"/>
      <c r="H28" s="7"/>
    </row>
    <row r="29" customFormat="false" ht="15" hidden="false" customHeight="false" outlineLevel="0" collapsed="false">
      <c r="A29" s="4" t="str">
        <f aca="false">IF(B29="","",ROW()-4)</f>
        <v/>
      </c>
      <c r="B29" s="5"/>
      <c r="C29" s="5"/>
      <c r="D29" s="6"/>
      <c r="E29" s="5"/>
      <c r="F29" s="5"/>
      <c r="G29" s="5"/>
      <c r="H29" s="7"/>
    </row>
    <row r="30" customFormat="false" ht="15" hidden="false" customHeight="false" outlineLevel="0" collapsed="false">
      <c r="A30" s="4" t="str">
        <f aca="false">IF(B30="","",ROW()-4)</f>
        <v/>
      </c>
      <c r="B30" s="5"/>
      <c r="C30" s="5"/>
      <c r="D30" s="6"/>
      <c r="E30" s="5"/>
      <c r="F30" s="5"/>
      <c r="G30" s="5"/>
      <c r="H30" s="7"/>
    </row>
    <row r="31" customFormat="false" ht="15" hidden="false" customHeight="false" outlineLevel="0" collapsed="false">
      <c r="A31" s="4" t="str">
        <f aca="false">IF(B31="","",ROW()-4)</f>
        <v/>
      </c>
      <c r="B31" s="5"/>
      <c r="C31" s="5"/>
      <c r="D31" s="6"/>
      <c r="E31" s="5"/>
      <c r="F31" s="5"/>
      <c r="G31" s="5"/>
      <c r="H31" s="7"/>
    </row>
    <row r="32" customFormat="false" ht="15" hidden="false" customHeight="false" outlineLevel="0" collapsed="false">
      <c r="A32" s="4" t="str">
        <f aca="false">IF(B32="","",ROW()-4)</f>
        <v/>
      </c>
      <c r="B32" s="5"/>
      <c r="C32" s="5"/>
      <c r="D32" s="6"/>
      <c r="E32" s="5"/>
      <c r="F32" s="5"/>
      <c r="G32" s="5"/>
      <c r="H32" s="7"/>
    </row>
    <row r="33" customFormat="false" ht="15" hidden="false" customHeight="false" outlineLevel="0" collapsed="false">
      <c r="A33" s="4" t="str">
        <f aca="false">IF(B33="","",ROW()-4)</f>
        <v/>
      </c>
      <c r="B33" s="5"/>
      <c r="C33" s="5"/>
      <c r="D33" s="6"/>
      <c r="E33" s="5"/>
      <c r="F33" s="5"/>
      <c r="G33" s="5"/>
      <c r="H33" s="7"/>
    </row>
    <row r="34" customFormat="false" ht="15" hidden="false" customHeight="false" outlineLevel="0" collapsed="false">
      <c r="A34" s="4" t="str">
        <f aca="false">IF(B34="","",ROW()-4)</f>
        <v/>
      </c>
      <c r="B34" s="5"/>
      <c r="C34" s="5"/>
      <c r="D34" s="6"/>
      <c r="E34" s="5"/>
      <c r="F34" s="5"/>
      <c r="G34" s="5"/>
      <c r="H34" s="7"/>
    </row>
    <row r="35" customFormat="false" ht="15" hidden="false" customHeight="false" outlineLevel="0" collapsed="false">
      <c r="A35" s="4" t="str">
        <f aca="false">IF(B35="","",ROW()-4)</f>
        <v/>
      </c>
      <c r="B35" s="5"/>
      <c r="C35" s="5"/>
      <c r="D35" s="6"/>
      <c r="E35" s="5"/>
      <c r="F35" s="5"/>
      <c r="G35" s="5"/>
      <c r="H35" s="7"/>
    </row>
    <row r="36" customFormat="false" ht="15" hidden="false" customHeight="false" outlineLevel="0" collapsed="false">
      <c r="A36" s="4" t="str">
        <f aca="false">IF(B36="","",ROW()-4)</f>
        <v/>
      </c>
      <c r="B36" s="5"/>
      <c r="C36" s="5"/>
      <c r="D36" s="6"/>
      <c r="E36" s="5"/>
      <c r="F36" s="5"/>
      <c r="G36" s="5"/>
      <c r="H36" s="7"/>
    </row>
    <row r="37" customFormat="false" ht="15" hidden="false" customHeight="false" outlineLevel="0" collapsed="false">
      <c r="A37" s="4" t="str">
        <f aca="false">IF(B37="","",ROW()-4)</f>
        <v/>
      </c>
      <c r="B37" s="5"/>
      <c r="C37" s="5"/>
      <c r="D37" s="6"/>
      <c r="E37" s="5"/>
      <c r="F37" s="5"/>
      <c r="G37" s="5"/>
      <c r="H37" s="7"/>
    </row>
    <row r="38" customFormat="false" ht="15" hidden="false" customHeight="false" outlineLevel="0" collapsed="false">
      <c r="A38" s="4" t="str">
        <f aca="false">IF(B38="","",ROW()-4)</f>
        <v/>
      </c>
      <c r="B38" s="5"/>
      <c r="C38" s="5"/>
      <c r="D38" s="6"/>
      <c r="E38" s="5"/>
      <c r="F38" s="5"/>
      <c r="G38" s="5"/>
      <c r="H38" s="7"/>
    </row>
    <row r="39" customFormat="false" ht="15" hidden="false" customHeight="false" outlineLevel="0" collapsed="false">
      <c r="A39" s="4" t="str">
        <f aca="false">IF(B39="","",ROW()-4)</f>
        <v/>
      </c>
      <c r="B39" s="5"/>
      <c r="C39" s="5"/>
      <c r="D39" s="6"/>
      <c r="E39" s="5"/>
      <c r="F39" s="5"/>
      <c r="G39" s="5"/>
      <c r="H39" s="7"/>
    </row>
    <row r="40" customFormat="false" ht="15" hidden="false" customHeight="false" outlineLevel="0" collapsed="false">
      <c r="A40" s="4" t="str">
        <f aca="false">IF(B40="","",ROW()-4)</f>
        <v/>
      </c>
      <c r="B40" s="5"/>
      <c r="C40" s="5"/>
      <c r="D40" s="6"/>
      <c r="E40" s="5"/>
      <c r="F40" s="5"/>
      <c r="G40" s="5"/>
      <c r="H40" s="7"/>
    </row>
    <row r="41" customFormat="false" ht="15" hidden="false" customHeight="false" outlineLevel="0" collapsed="false">
      <c r="A41" s="4" t="str">
        <f aca="false">IF(B41="","",ROW()-4)</f>
        <v/>
      </c>
      <c r="B41" s="5"/>
      <c r="C41" s="5"/>
      <c r="D41" s="6"/>
      <c r="E41" s="5"/>
      <c r="F41" s="5"/>
      <c r="G41" s="5"/>
      <c r="H41" s="7"/>
    </row>
    <row r="42" customFormat="false" ht="15" hidden="false" customHeight="false" outlineLevel="0" collapsed="false">
      <c r="A42" s="4" t="str">
        <f aca="false">IF(B42="","",ROW()-4)</f>
        <v/>
      </c>
      <c r="B42" s="5"/>
      <c r="C42" s="5"/>
      <c r="D42" s="6"/>
      <c r="E42" s="5"/>
      <c r="F42" s="5"/>
      <c r="G42" s="5"/>
      <c r="H42" s="7"/>
    </row>
    <row r="43" customFormat="false" ht="15" hidden="false" customHeight="false" outlineLevel="0" collapsed="false">
      <c r="A43" s="4" t="str">
        <f aca="false">IF(B43="","",ROW()-4)</f>
        <v/>
      </c>
      <c r="B43" s="5"/>
      <c r="C43" s="5"/>
      <c r="D43" s="6"/>
      <c r="E43" s="5"/>
      <c r="F43" s="5"/>
      <c r="G43" s="5"/>
      <c r="H43" s="7"/>
    </row>
    <row r="44" customFormat="false" ht="15" hidden="false" customHeight="false" outlineLevel="0" collapsed="false">
      <c r="A44" s="4" t="str">
        <f aca="false">IF(B44="","",ROW()-4)</f>
        <v/>
      </c>
      <c r="B44" s="5"/>
      <c r="C44" s="5"/>
      <c r="D44" s="6"/>
      <c r="E44" s="5"/>
      <c r="F44" s="5"/>
      <c r="G44" s="5"/>
      <c r="H44" s="7"/>
    </row>
    <row r="45" customFormat="false" ht="15" hidden="false" customHeight="false" outlineLevel="0" collapsed="false">
      <c r="A45" s="4" t="str">
        <f aca="false">IF(B45="","",ROW()-4)</f>
        <v/>
      </c>
      <c r="B45" s="5"/>
      <c r="C45" s="5"/>
      <c r="D45" s="6"/>
      <c r="E45" s="5"/>
      <c r="F45" s="5"/>
      <c r="G45" s="5"/>
      <c r="H45" s="7"/>
    </row>
    <row r="46" customFormat="false" ht="15" hidden="false" customHeight="false" outlineLevel="0" collapsed="false">
      <c r="A46" s="4" t="str">
        <f aca="false">IF(B46="","",ROW()-4)</f>
        <v/>
      </c>
      <c r="B46" s="5"/>
      <c r="C46" s="5"/>
      <c r="D46" s="6"/>
      <c r="E46" s="5"/>
      <c r="F46" s="5"/>
      <c r="G46" s="5"/>
      <c r="H46" s="7"/>
    </row>
    <row r="47" customFormat="false" ht="15" hidden="false" customHeight="false" outlineLevel="0" collapsed="false">
      <c r="A47" s="4" t="str">
        <f aca="false">IF(B47="","",ROW()-4)</f>
        <v/>
      </c>
      <c r="B47" s="5"/>
      <c r="C47" s="5"/>
      <c r="D47" s="6"/>
      <c r="E47" s="5"/>
      <c r="F47" s="5"/>
      <c r="G47" s="5"/>
      <c r="H47" s="7"/>
    </row>
    <row r="48" customFormat="false" ht="15" hidden="false" customHeight="false" outlineLevel="0" collapsed="false">
      <c r="A48" s="4" t="str">
        <f aca="false">IF(B48="","",ROW()-4)</f>
        <v/>
      </c>
      <c r="B48" s="5"/>
      <c r="C48" s="5"/>
      <c r="D48" s="6"/>
      <c r="E48" s="5"/>
      <c r="F48" s="5"/>
      <c r="G48" s="5"/>
      <c r="H48" s="7"/>
    </row>
    <row r="49" customFormat="false" ht="15" hidden="false" customHeight="false" outlineLevel="0" collapsed="false">
      <c r="A49" s="4" t="str">
        <f aca="false">IF(B49="","",ROW()-4)</f>
        <v/>
      </c>
      <c r="B49" s="5"/>
      <c r="C49" s="5"/>
      <c r="D49" s="6"/>
      <c r="E49" s="5"/>
      <c r="F49" s="5"/>
      <c r="G49" s="5"/>
      <c r="H49" s="7"/>
    </row>
    <row r="50" customFormat="false" ht="15" hidden="false" customHeight="false" outlineLevel="0" collapsed="false">
      <c r="A50" s="4" t="str">
        <f aca="false">IF(B50="","",ROW()-4)</f>
        <v/>
      </c>
      <c r="B50" s="5"/>
      <c r="C50" s="5"/>
      <c r="D50" s="6"/>
      <c r="E50" s="5"/>
      <c r="F50" s="5"/>
      <c r="G50" s="5"/>
      <c r="H50" s="7"/>
    </row>
    <row r="51" customFormat="false" ht="15" hidden="false" customHeight="false" outlineLevel="0" collapsed="false">
      <c r="A51" s="4" t="str">
        <f aca="false">IF(B51="","",ROW()-4)</f>
        <v/>
      </c>
      <c r="B51" s="5"/>
      <c r="C51" s="5"/>
      <c r="D51" s="6"/>
      <c r="E51" s="5"/>
      <c r="F51" s="5"/>
      <c r="G51" s="5"/>
      <c r="H51" s="7"/>
    </row>
    <row r="52" customFormat="false" ht="15" hidden="false" customHeight="false" outlineLevel="0" collapsed="false">
      <c r="A52" s="4" t="str">
        <f aca="false">IF(B52="","",ROW()-4)</f>
        <v/>
      </c>
      <c r="B52" s="5"/>
      <c r="C52" s="5"/>
      <c r="D52" s="6"/>
      <c r="E52" s="5"/>
      <c r="F52" s="5"/>
      <c r="G52" s="5"/>
      <c r="H52" s="7"/>
    </row>
    <row r="53" customFormat="false" ht="15" hidden="false" customHeight="false" outlineLevel="0" collapsed="false">
      <c r="A53" s="4" t="str">
        <f aca="false">IF(B53="","",ROW()-4)</f>
        <v/>
      </c>
      <c r="B53" s="5"/>
      <c r="C53" s="5"/>
      <c r="D53" s="6"/>
      <c r="E53" s="5"/>
      <c r="F53" s="5"/>
      <c r="G53" s="5"/>
      <c r="H53" s="7"/>
    </row>
    <row r="54" customFormat="false" ht="15" hidden="false" customHeight="false" outlineLevel="0" collapsed="false">
      <c r="A54" s="4" t="str">
        <f aca="false">IF(B54="","",ROW()-4)</f>
        <v/>
      </c>
      <c r="B54" s="5"/>
      <c r="C54" s="5"/>
      <c r="D54" s="6"/>
      <c r="E54" s="5"/>
      <c r="F54" s="5"/>
      <c r="G54" s="5"/>
      <c r="H54" s="7"/>
    </row>
    <row r="55" customFormat="false" ht="15" hidden="false" customHeight="false" outlineLevel="0" collapsed="false">
      <c r="A55" s="4" t="str">
        <f aca="false">IF(B55="","",ROW()-4)</f>
        <v/>
      </c>
      <c r="B55" s="5"/>
      <c r="C55" s="5"/>
      <c r="D55" s="6"/>
      <c r="E55" s="5"/>
      <c r="F55" s="5"/>
      <c r="G55" s="5"/>
      <c r="H55" s="7"/>
    </row>
    <row r="56" customFormat="false" ht="15" hidden="false" customHeight="false" outlineLevel="0" collapsed="false">
      <c r="A56" s="4" t="str">
        <f aca="false">IF(B56="","",ROW()-4)</f>
        <v/>
      </c>
      <c r="B56" s="5"/>
      <c r="C56" s="5"/>
      <c r="D56" s="6"/>
      <c r="E56" s="5"/>
      <c r="F56" s="5"/>
      <c r="G56" s="5"/>
      <c r="H56" s="7"/>
    </row>
    <row r="57" customFormat="false" ht="15" hidden="false" customHeight="false" outlineLevel="0" collapsed="false">
      <c r="A57" s="4" t="str">
        <f aca="false">IF(B57="","",ROW()-4)</f>
        <v/>
      </c>
      <c r="B57" s="5"/>
      <c r="C57" s="5"/>
      <c r="D57" s="6"/>
      <c r="E57" s="5"/>
      <c r="F57" s="5"/>
      <c r="G57" s="5"/>
      <c r="H57" s="7"/>
    </row>
    <row r="58" customFormat="false" ht="15" hidden="false" customHeight="false" outlineLevel="0" collapsed="false">
      <c r="A58" s="4" t="str">
        <f aca="false">IF(B58="","",ROW()-4)</f>
        <v/>
      </c>
      <c r="B58" s="5"/>
      <c r="C58" s="5"/>
      <c r="D58" s="6"/>
      <c r="E58" s="5"/>
      <c r="F58" s="5"/>
      <c r="G58" s="5"/>
      <c r="H58" s="7"/>
    </row>
    <row r="59" customFormat="false" ht="15" hidden="false" customHeight="false" outlineLevel="0" collapsed="false">
      <c r="A59" s="4" t="str">
        <f aca="false">IF(B59="","",ROW()-4)</f>
        <v/>
      </c>
      <c r="B59" s="5"/>
      <c r="C59" s="5"/>
      <c r="D59" s="6"/>
      <c r="E59" s="5"/>
      <c r="F59" s="5"/>
      <c r="G59" s="5"/>
      <c r="H59" s="7"/>
    </row>
    <row r="60" customFormat="false" ht="15" hidden="false" customHeight="false" outlineLevel="0" collapsed="false">
      <c r="A60" s="4" t="str">
        <f aca="false">IF(B60="","",ROW()-4)</f>
        <v/>
      </c>
      <c r="B60" s="5"/>
      <c r="C60" s="5"/>
      <c r="D60" s="6"/>
      <c r="E60" s="5"/>
      <c r="F60" s="5"/>
      <c r="G60" s="5"/>
      <c r="H60" s="7"/>
    </row>
    <row r="61" customFormat="false" ht="15" hidden="false" customHeight="false" outlineLevel="0" collapsed="false">
      <c r="A61" s="4" t="str">
        <f aca="false">IF(B61="","",ROW()-4)</f>
        <v/>
      </c>
      <c r="B61" s="5"/>
      <c r="C61" s="5"/>
      <c r="D61" s="6"/>
      <c r="E61" s="5"/>
      <c r="F61" s="5"/>
      <c r="G61" s="5"/>
      <c r="H61" s="7"/>
    </row>
    <row r="62" customFormat="false" ht="15" hidden="false" customHeight="false" outlineLevel="0" collapsed="false">
      <c r="A62" s="4" t="str">
        <f aca="false">IF(B62="","",ROW()-4)</f>
        <v/>
      </c>
      <c r="B62" s="5"/>
      <c r="C62" s="5"/>
      <c r="D62" s="6"/>
      <c r="E62" s="5"/>
      <c r="F62" s="5"/>
      <c r="G62" s="5"/>
      <c r="H62" s="7"/>
    </row>
    <row r="63" customFormat="false" ht="15" hidden="false" customHeight="false" outlineLevel="0" collapsed="false">
      <c r="A63" s="4" t="str">
        <f aca="false">IF(B63="","",ROW()-4)</f>
        <v/>
      </c>
      <c r="B63" s="5"/>
      <c r="C63" s="5"/>
      <c r="D63" s="6"/>
      <c r="E63" s="5"/>
      <c r="F63" s="5"/>
      <c r="G63" s="5"/>
      <c r="H63" s="7"/>
    </row>
    <row r="64" customFormat="false" ht="15" hidden="false" customHeight="false" outlineLevel="0" collapsed="false">
      <c r="A64" s="4" t="str">
        <f aca="false">IF(B64="","",ROW()-4)</f>
        <v/>
      </c>
      <c r="B64" s="5"/>
      <c r="C64" s="5"/>
      <c r="D64" s="6"/>
      <c r="E64" s="5"/>
      <c r="F64" s="5"/>
      <c r="G64" s="5"/>
      <c r="H64" s="7"/>
    </row>
  </sheetData>
  <dataValidations count="3">
    <dataValidation allowBlank="true" errorStyle="stop" operator="between" showDropDown="false" showErrorMessage="false" showInputMessage="false" sqref="B5:B64" type="list">
      <formula1>"bug=coupon,bug=checkout,shop sạch"</formula1>
      <formula2>0</formula2>
    </dataValidation>
    <dataValidation allowBlank="true" errorStyle="stop" operator="between" showDropDown="false" showErrorMessage="false" showInputMessage="false" sqref="C5:C64" type="list">
      <formula1>"Trước khi sửa,Sau khi sửa"</formula1>
      <formula2>0</formula2>
    </dataValidation>
    <dataValidation allowBlank="true" errorStyle="stop" operator="between" showDropDown="false" showErrorMessage="false" showInputMessage="false" sqref="F5:G64" type="list">
      <formula1>"Có,Không"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3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5"/>
  </cols>
  <sheetData>
    <row r="1" customFormat="false" ht="17.35" hidden="false" customHeight="false" outlineLevel="0" collapsed="false">
      <c r="A1" s="1" t="s">
        <v>23</v>
      </c>
    </row>
    <row r="2" customFormat="false" ht="15" hidden="false" customHeight="false" outlineLevel="0" collapsed="false">
      <c r="A2" s="2" t="s">
        <v>24</v>
      </c>
    </row>
    <row r="4" customFormat="false" ht="15" hidden="false" customHeight="false" outlineLevel="0" collapsed="false">
      <c r="A4" s="8" t="s">
        <v>25</v>
      </c>
      <c r="B4" s="9"/>
      <c r="C4" s="9"/>
      <c r="D4" s="9"/>
      <c r="E4" s="9"/>
      <c r="F4" s="9"/>
    </row>
    <row r="5" customFormat="false" ht="30" hidden="false" customHeight="true" outlineLevel="0" collapsed="false">
      <c r="A5" s="3" t="s">
        <v>4</v>
      </c>
      <c r="B5" s="3" t="s">
        <v>26</v>
      </c>
      <c r="C5" s="3" t="s">
        <v>27</v>
      </c>
      <c r="D5" s="3" t="s">
        <v>28</v>
      </c>
      <c r="E5" s="3" t="s">
        <v>29</v>
      </c>
      <c r="F5" s="3" t="s">
        <v>30</v>
      </c>
    </row>
    <row r="6" customFormat="false" ht="15" hidden="false" customHeight="false" outlineLevel="0" collapsed="false">
      <c r="A6" s="10" t="s">
        <v>16</v>
      </c>
      <c r="B6" s="11" t="n">
        <f aca="false">COUNTIFS('Nhật ký chạy'!$B$5:$B$64,$A6,'Nhật ký chạy'!$C$5:$C$64,"Trước khi sửa")</f>
        <v>1</v>
      </c>
      <c r="C6" s="11" t="n">
        <f aca="false">COUNTIFS('Nhật ký chạy'!$B$5:$B$64,$A6,'Nhật ký chạy'!$C$5:$C$64,"Trước khi sửa",'Nhật ký chạy'!$F$5:$F$64,"Có")</f>
        <v>0</v>
      </c>
      <c r="D6" s="12" t="n">
        <f aca="false">IF(B6=0,"",C6/B6)</f>
        <v>0</v>
      </c>
      <c r="E6" s="11" t="s">
        <v>31</v>
      </c>
      <c r="F6" s="12" t="s">
        <v>31</v>
      </c>
    </row>
    <row r="7" customFormat="false" ht="15" hidden="false" customHeight="false" outlineLevel="0" collapsed="false">
      <c r="A7" s="10" t="s">
        <v>32</v>
      </c>
      <c r="B7" s="11" t="n">
        <f aca="false">COUNTIFS('Nhật ký chạy'!$B$5:$B$64,$A7,'Nhật ký chạy'!$C$5:$C$64,"Trước khi sửa")</f>
        <v>0</v>
      </c>
      <c r="C7" s="11" t="n">
        <f aca="false">COUNTIFS('Nhật ký chạy'!$B$5:$B$64,$A7,'Nhật ký chạy'!$C$5:$C$64,"Trước khi sửa",'Nhật ký chạy'!$F$5:$F$64,"Có")</f>
        <v>0</v>
      </c>
      <c r="D7" s="12" t="str">
        <f aca="false">IF(B7=0,"",C7/B7)</f>
        <v/>
      </c>
      <c r="E7" s="11" t="s">
        <v>31</v>
      </c>
      <c r="F7" s="12" t="s">
        <v>31</v>
      </c>
    </row>
    <row r="8" customFormat="false" ht="15" hidden="false" customHeight="false" outlineLevel="0" collapsed="false">
      <c r="A8" s="10" t="s">
        <v>11</v>
      </c>
      <c r="B8" s="11" t="n">
        <f aca="false">COUNTIFS('Nhật ký chạy'!$B$5:$B$64,$A8,'Nhật ký chạy'!$C$5:$C$64,"Trước khi sửa")</f>
        <v>1</v>
      </c>
      <c r="C8" s="11" t="s">
        <v>31</v>
      </c>
      <c r="D8" s="12" t="s">
        <v>31</v>
      </c>
      <c r="E8" s="11" t="n">
        <f aca="false">COUNTIFS('Nhật ký chạy'!$B$5:$B$64,$A8,'Nhật ký chạy'!$C$5:$C$64,"Trước khi sửa",'Nhật ký chạy'!$G$5:$G$64,"Có")</f>
        <v>0</v>
      </c>
      <c r="F8" s="12" t="n">
        <f aca="false">IF(B8=0,"",E8/B8)</f>
        <v>0</v>
      </c>
    </row>
    <row r="10" customFormat="false" ht="15" hidden="false" customHeight="false" outlineLevel="0" collapsed="false">
      <c r="A10" s="8" t="s">
        <v>33</v>
      </c>
      <c r="B10" s="9"/>
      <c r="C10" s="9"/>
      <c r="D10" s="9"/>
      <c r="E10" s="9"/>
      <c r="F10" s="9"/>
    </row>
    <row r="11" customFormat="false" ht="30" hidden="false" customHeight="true" outlineLevel="0" collapsed="false">
      <c r="A11" s="3" t="s">
        <v>4</v>
      </c>
      <c r="B11" s="3" t="s">
        <v>26</v>
      </c>
      <c r="C11" s="3" t="s">
        <v>27</v>
      </c>
      <c r="D11" s="3" t="s">
        <v>28</v>
      </c>
      <c r="E11" s="3" t="s">
        <v>29</v>
      </c>
      <c r="F11" s="3" t="s">
        <v>30</v>
      </c>
    </row>
    <row r="12" customFormat="false" ht="15" hidden="false" customHeight="false" outlineLevel="0" collapsed="false">
      <c r="A12" s="10" t="s">
        <v>16</v>
      </c>
      <c r="B12" s="11" t="n">
        <f aca="false">COUNTIFS('Nhật ký chạy'!$B$5:$B$64,$A12,'Nhật ký chạy'!$C$5:$C$64,"Sau khi sửa")</f>
        <v>1</v>
      </c>
      <c r="C12" s="11" t="n">
        <f aca="false">COUNTIFS('Nhật ký chạy'!$B$5:$B$64,$A12,'Nhật ký chạy'!$C$5:$C$64,"Sau khi sửa",'Nhật ký chạy'!$F$5:$F$64,"Có")</f>
        <v>1</v>
      </c>
      <c r="D12" s="12" t="n">
        <f aca="false">IF(B12=0,"",C12/B12)</f>
        <v>1</v>
      </c>
      <c r="E12" s="11" t="s">
        <v>31</v>
      </c>
      <c r="F12" s="12" t="s">
        <v>31</v>
      </c>
    </row>
    <row r="13" customFormat="false" ht="15" hidden="false" customHeight="false" outlineLevel="0" collapsed="false">
      <c r="A13" s="10" t="s">
        <v>32</v>
      </c>
      <c r="B13" s="11" t="n">
        <f aca="false">COUNTIFS('Nhật ký chạy'!$B$5:$B$64,$A13,'Nhật ký chạy'!$C$5:$C$64,"Sau khi sửa")</f>
        <v>0</v>
      </c>
      <c r="C13" s="11" t="n">
        <f aca="false">COUNTIFS('Nhật ký chạy'!$B$5:$B$64,$A13,'Nhật ký chạy'!$C$5:$C$64,"Sau khi sửa",'Nhật ký chạy'!$F$5:$F$64,"Có")</f>
        <v>0</v>
      </c>
      <c r="D13" s="12" t="str">
        <f aca="false">IF(B13=0,"",C13/B13)</f>
        <v/>
      </c>
      <c r="E13" s="11" t="s">
        <v>31</v>
      </c>
      <c r="F13" s="12" t="s">
        <v>31</v>
      </c>
    </row>
    <row r="14" customFormat="false" ht="15" hidden="false" customHeight="false" outlineLevel="0" collapsed="false">
      <c r="A14" s="10" t="s">
        <v>11</v>
      </c>
      <c r="B14" s="11" t="n">
        <f aca="false">COUNTIFS('Nhật ký chạy'!$B$5:$B$64,$A14,'Nhật ký chạy'!$C$5:$C$64,"Sau khi sửa")</f>
        <v>0</v>
      </c>
      <c r="C14" s="11" t="s">
        <v>31</v>
      </c>
      <c r="D14" s="12" t="s">
        <v>31</v>
      </c>
      <c r="E14" s="11" t="n">
        <f aca="false">COUNTIFS('Nhật ký chạy'!$B$5:$B$64,$A14,'Nhật ký chạy'!$C$5:$C$64,"Sau khi sửa",'Nhật ký chạy'!$G$5:$G$64,"Có")</f>
        <v>0</v>
      </c>
      <c r="F14" s="12" t="str">
        <f aca="false">IF(B14=0,"",E14/B14)</f>
        <v/>
      </c>
    </row>
    <row r="16" customFormat="false" ht="15" hidden="false" customHeight="false" outlineLevel="0" collapsed="false">
      <c r="A16" s="13" t="s">
        <v>34</v>
      </c>
    </row>
    <row r="17" customFormat="false" ht="15" hidden="false" customHeight="false" outlineLevel="0" collapsed="false">
      <c r="A17" s="14" t="s">
        <v>35</v>
      </c>
      <c r="B17" s="15" t="s">
        <v>36</v>
      </c>
      <c r="C17" s="2" t="s">
        <v>37</v>
      </c>
    </row>
    <row r="18" customFormat="false" ht="15" hidden="false" customHeight="false" outlineLevel="0" collapsed="false">
      <c r="A18" s="14" t="s">
        <v>38</v>
      </c>
      <c r="B18" s="15" t="n">
        <v>0</v>
      </c>
      <c r="C18" s="2" t="s">
        <v>39</v>
      </c>
    </row>
    <row r="20" customFormat="false" ht="15" hidden="false" customHeight="false" outlineLevel="0" collapsed="false">
      <c r="A20" s="13" t="s">
        <v>40</v>
      </c>
    </row>
    <row r="21" customFormat="false" ht="15" hidden="false" customHeight="false" outlineLevel="0" collapsed="false">
      <c r="A21" s="2" t="s">
        <v>41</v>
      </c>
    </row>
    <row r="22" customFormat="false" ht="15" hidden="false" customHeight="false" outlineLevel="0" collapsed="false">
      <c r="A22" s="2" t="s">
        <v>42</v>
      </c>
    </row>
    <row r="23" customFormat="false" ht="15" hidden="false" customHeight="false" outlineLevel="0" collapsed="false">
      <c r="A23" s="2" t="s">
        <v>43</v>
      </c>
    </row>
    <row r="24" customFormat="false" ht="15" hidden="false" customHeight="false" outlineLevel="0" collapsed="false">
      <c r="A24" s="2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2026-10-13T07:34:35Z</dcterms:created>
  <dc:creator>openpyxl</dc:creator>
  <dc:description/>
  <dc:language>en-US</dc:language>
  <cp:lastModifiedBy/>
  <dcterms:modified xsi:type="dcterms:W3CDTF">2026-10-13T07:34:35Z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